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mc:AlternateContent xmlns:mc="http://schemas.openxmlformats.org/markup-compatibility/2006">
    <mc:Choice Requires="x15">
      <x15ac:absPath xmlns:x15ac="http://schemas.microsoft.com/office/spreadsheetml/2010/11/ac" url="https://uofnebraska-my.sharepoint.com/personal/99073241_nebraska_edu/Documents/CIVE 202/Project 3/CIVE202_Project 3/"/>
    </mc:Choice>
  </mc:AlternateContent>
  <xr:revisionPtr revIDLastSave="97" documentId="8_{81A0096B-0B5E-40A8-ADBB-7E5E86CE9069}" xr6:coauthVersionLast="47" xr6:coauthVersionMax="47" xr10:uidLastSave="{BC23BC66-1029-40EF-B63E-5AE6A606CBFC}"/>
  <bookViews>
    <workbookView xWindow="-108" yWindow="-108" windowWidth="23256" windowHeight="12456" xr2:uid="{00000000-000D-0000-FFFF-FFFF00000000}"/>
  </bookViews>
  <sheets>
    <sheet name="GanttChart" sheetId="9" r:id="rId1"/>
  </sheets>
  <definedNames>
    <definedName name="prevWBS" localSheetId="0">GanttChart!$A1048576</definedName>
    <definedName name="_xlnm.Print_Area" localSheetId="0">GanttChart!$A$1:$BN$28</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9" l="1"/>
  <c r="I18" i="9" s="1"/>
  <c r="F17" i="9"/>
  <c r="I17" i="9" s="1"/>
  <c r="F16" i="9"/>
  <c r="I16" i="9" s="1"/>
  <c r="I28" i="9"/>
  <c r="F8" i="9" l="1"/>
  <c r="I8" i="9" s="1"/>
  <c r="F22" i="9"/>
  <c r="I22" i="9" s="1"/>
  <c r="F19" i="9"/>
  <c r="I19" i="9" s="1"/>
  <c r="F12" i="9"/>
  <c r="I12" i="9" s="1"/>
  <c r="F9" i="9" l="1"/>
  <c r="K6" i="9"/>
  <c r="F10" i="9" l="1"/>
  <c r="I10" i="9" s="1"/>
  <c r="I9" i="9"/>
  <c r="K7" i="9"/>
  <c r="K4" i="9"/>
  <c r="A8" i="9"/>
  <c r="L6" i="9" l="1"/>
  <c r="F14" i="9" l="1"/>
  <c r="I14" i="9" s="1"/>
  <c r="F13" i="9"/>
  <c r="I13" i="9" s="1"/>
  <c r="F21" i="9"/>
  <c r="I21" i="9" s="1"/>
  <c r="F20" i="9"/>
  <c r="I20" i="9" s="1"/>
  <c r="F24" i="9"/>
  <c r="I24" i="9" s="1"/>
  <c r="F23" i="9"/>
  <c r="I23" i="9" s="1"/>
  <c r="M6" i="9"/>
  <c r="F25" i="9" l="1"/>
  <c r="I25" i="9" s="1"/>
  <c r="N6" i="9"/>
  <c r="F26" i="9" l="1"/>
  <c r="I26" i="9" s="1"/>
  <c r="O6" i="9"/>
  <c r="K5" i="9"/>
  <c r="F27" i="9" l="1"/>
  <c r="I27" i="9" s="1"/>
  <c r="F11" i="9"/>
  <c r="I11"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s="1"/>
  <c r="A14" i="9" s="1"/>
  <c r="A15" i="9" l="1"/>
  <c r="A19" i="9" s="1"/>
  <c r="A20" i="9" s="1"/>
  <c r="A21" i="9" s="1"/>
  <c r="A22" i="9" l="1"/>
  <c r="A23" i="9" s="1"/>
  <c r="A24" i="9" s="1"/>
  <c r="A25" i="9" s="1"/>
  <c r="A26" i="9" s="1"/>
  <c r="A27" i="9" s="1"/>
  <c r="F15" i="9"/>
  <c r="I15"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rgb="FF000000"/>
            <rFont val="Tahoma"/>
            <family val="2"/>
          </rPr>
          <t>Task Description</t>
        </r>
        <r>
          <rPr>
            <sz val="9"/>
            <color rgb="FF000000"/>
            <rFont val="Tahoma"/>
            <family val="2"/>
          </rPr>
          <t xml:space="preserve">
</t>
        </r>
        <r>
          <rPr>
            <sz val="9"/>
            <color rgb="FF000000"/>
            <rFont val="Tahoma"/>
            <family val="2"/>
          </rPr>
          <t>Enter the name of each task and sub-task. Use indents for sub-tasks.</t>
        </r>
      </text>
    </comment>
    <comment ref="C7" authorId="0" shapeId="0" xr:uid="{00000000-0006-0000-0000-000003000000}">
      <text>
        <r>
          <rPr>
            <b/>
            <sz val="9"/>
            <color rgb="FF000000"/>
            <rFont val="Tahoma"/>
            <family val="2"/>
          </rPr>
          <t>Task Lead</t>
        </r>
        <r>
          <rPr>
            <sz val="9"/>
            <color rgb="FF000000"/>
            <rFont val="Tahoma"/>
            <family val="2"/>
          </rPr>
          <t xml:space="preserve">
</t>
        </r>
        <r>
          <rPr>
            <sz val="9"/>
            <color rgb="FF000000"/>
            <rFont val="Tahoma"/>
            <family val="2"/>
          </rPr>
          <t>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rgb="FF000000"/>
            <rFont val="Tahoma"/>
            <family val="2"/>
          </rPr>
          <t>Task Start Date</t>
        </r>
        <r>
          <rPr>
            <sz val="9"/>
            <color rgb="FF000000"/>
            <rFont val="Tahoma"/>
            <family val="2"/>
          </rPr>
          <t xml:space="preserve">
</t>
        </r>
        <r>
          <rPr>
            <sz val="9"/>
            <color rgb="FF000000"/>
            <rFont val="Tahoma"/>
            <family val="2"/>
          </rPr>
          <t xml:space="preserve">You can manually enter the Start Date for each task or use a formula to create a dependency on a Predecessor. For example, you could enter </t>
        </r>
        <r>
          <rPr>
            <b/>
            <sz val="9"/>
            <color rgb="FF000000"/>
            <rFont val="Tahoma"/>
            <family val="2"/>
          </rPr>
          <t>=</t>
        </r>
        <r>
          <rPr>
            <b/>
            <i/>
            <sz val="9"/>
            <color rgb="FF000000"/>
            <rFont val="Tahoma"/>
            <family val="2"/>
          </rPr>
          <t>enddate</t>
        </r>
        <r>
          <rPr>
            <b/>
            <sz val="9"/>
            <color rgb="FF000000"/>
            <rFont val="Tahoma"/>
            <family val="2"/>
          </rPr>
          <t>+1</t>
        </r>
        <r>
          <rPr>
            <sz val="9"/>
            <color rgb="FF000000"/>
            <rFont val="Tahoma"/>
            <family val="2"/>
          </rPr>
          <t xml:space="preserve"> to set the Start date to the next calendar day, or </t>
        </r>
        <r>
          <rPr>
            <b/>
            <sz val="9"/>
            <color rgb="FF000000"/>
            <rFont val="Tahoma"/>
            <family val="2"/>
          </rPr>
          <t>=WORKDAY(</t>
        </r>
        <r>
          <rPr>
            <b/>
            <i/>
            <sz val="9"/>
            <color rgb="FF000000"/>
            <rFont val="Tahoma"/>
            <family val="2"/>
          </rPr>
          <t>enddate</t>
        </r>
        <r>
          <rPr>
            <b/>
            <sz val="9"/>
            <color rgb="FF000000"/>
            <rFont val="Tahoma"/>
            <family val="2"/>
          </rPr>
          <t>,1)</t>
        </r>
        <r>
          <rPr>
            <sz val="9"/>
            <color rgb="FF000000"/>
            <rFont val="Tahoma"/>
            <family val="2"/>
          </rPr>
          <t xml:space="preserve"> to set the Start date to the next work day (excluding weekends), where </t>
        </r>
        <r>
          <rPr>
            <i/>
            <sz val="9"/>
            <color rgb="FF000000"/>
            <rFont val="Tahoma"/>
            <family val="2"/>
          </rPr>
          <t>enddate</t>
        </r>
        <r>
          <rPr>
            <sz val="9"/>
            <color rgb="FF000000"/>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<sst xmlns="http://schemas.openxmlformats.org/spreadsheetml/2006/main" count="50" uniqueCount="39">
  <si>
    <t xml:space="preserve">Project Start Date </t>
  </si>
  <si>
    <t xml:space="preserve">Display Week </t>
  </si>
  <si>
    <t>WBS</t>
  </si>
  <si>
    <t>TASK</t>
  </si>
  <si>
    <t>LEAD</t>
  </si>
  <si>
    <t>PREDECESSOR</t>
  </si>
  <si>
    <t>START</t>
  </si>
  <si>
    <t>END</t>
  </si>
  <si>
    <t>DAYS</t>
  </si>
  <si>
    <t>% DONE</t>
  </si>
  <si>
    <t>WORK DAYS</t>
  </si>
  <si>
    <t>Planning and Setup</t>
  </si>
  <si>
    <t>Project Planning &amp; Task Assignment</t>
  </si>
  <si>
    <t>[Team]</t>
  </si>
  <si>
    <t>Set Up GitHub Repository &amp; File Structure</t>
  </si>
  <si>
    <t>[Rylee Renner]</t>
  </si>
  <si>
    <t>Debugging</t>
  </si>
  <si>
    <t>Final Deliverables Documentation</t>
  </si>
  <si>
    <t>Write Scope of Work (SOW)</t>
  </si>
  <si>
    <t>Write Annotated Code Document (ACD)</t>
  </si>
  <si>
    <t>Technical Report Writing</t>
  </si>
  <si>
    <t>Write README + User Guide (GitHub)</t>
  </si>
  <si>
    <t>Final Submission (Canvas + GitHub Link)</t>
  </si>
  <si>
    <t>Review NHTS and NGSIM data</t>
  </si>
  <si>
    <t>Bar Chart</t>
  </si>
  <si>
    <t>Histogram</t>
  </si>
  <si>
    <t>Boxplot</t>
  </si>
  <si>
    <t>2 Time-Series Plots</t>
  </si>
  <si>
    <t>Development - Python Code and Others</t>
  </si>
  <si>
    <t>Simulation Study</t>
  </si>
  <si>
    <t>Time Sheet Documentation</t>
  </si>
  <si>
    <t>Testing</t>
  </si>
  <si>
    <t>Check plot labeling</t>
  </si>
  <si>
    <t>[Dylan Dubas]</t>
  </si>
  <si>
    <t>[Chayse Jeanneret]</t>
  </si>
  <si>
    <t>[Lillian Strohl]</t>
  </si>
  <si>
    <t>Project #3 – Transportation Systems</t>
  </si>
  <si>
    <t>Dylan Dubas, Chayse Jeanneret, Rylee Renner, Lillian Strohl</t>
  </si>
  <si>
    <t xml:space="preserve">Group P3-G10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</si>
</sst>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7"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b/>
      <sz val="9"/>
      <color rgb="FF000000"/>
      <name val="Tahoma"/>
      <family val="2"/>
    </font>
    <font>
      <sz val="9"/>
      <color rgb="FF000000"/>
      <name val="Tahoma"/>
      <family val="2"/>
    </font>
    <font>
      <b/>
      <i/>
      <sz val="9"/>
      <color rgb="FF000000"/>
      <name val="Tahoma"/>
      <family val="2"/>
    </font>
    <font>
      <i/>
      <sz val="9"/>
      <color rgb="FF000000"/>
      <name val="Tahoma"/>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76">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29" fillId="0" borderId="0" xfId="0" applyFont="1"/>
    <xf numFmtId="0" fontId="30" fillId="0" borderId="0" xfId="0" applyFont="1" applyAlignment="1" applyProtection="1">
      <alignment vertical="center"/>
      <protection locked="0"/>
    </xf>
    <xf numFmtId="0" fontId="32" fillId="21" borderId="10" xfId="0" applyFont="1" applyFill="1" applyBorder="1" applyAlignment="1">
      <alignment horizontal="left" vertical="center"/>
    </xf>
    <xf numFmtId="0" fontId="32" fillId="21" borderId="10" xfId="0" applyFont="1" applyFill="1" applyBorder="1" applyAlignment="1">
      <alignment vertical="center"/>
    </xf>
    <xf numFmtId="0" fontId="28" fillId="21" borderId="10" xfId="0" applyFont="1" applyFill="1" applyBorder="1" applyAlignment="1">
      <alignment vertical="center"/>
    </xf>
    <xf numFmtId="0" fontId="28" fillId="21" borderId="10" xfId="0" applyFont="1" applyFill="1" applyBorder="1" applyAlignment="1">
      <alignment horizontal="center" vertical="center"/>
    </xf>
    <xf numFmtId="1" fontId="28" fillId="21" borderId="10" xfId="40" applyNumberFormat="1" applyFont="1" applyFill="1" applyBorder="1" applyAlignment="1" applyProtection="1">
      <alignment horizontal="center" vertical="center"/>
    </xf>
    <xf numFmtId="9" fontId="28" fillId="21" borderId="10" xfId="40" applyFont="1" applyFill="1" applyBorder="1" applyAlignment="1" applyProtection="1">
      <alignment horizontal="center" vertical="center"/>
    </xf>
    <xf numFmtId="1" fontId="28" fillId="21" borderId="10" xfId="0" applyNumberFormat="1" applyFont="1" applyFill="1" applyBorder="1" applyAlignment="1">
      <alignment horizontal="center" vertical="center"/>
    </xf>
    <xf numFmtId="0" fontId="28" fillId="0" borderId="10" xfId="0" applyFont="1" applyBorder="1" applyAlignment="1">
      <alignment horizontal="left" vertical="center"/>
    </xf>
    <xf numFmtId="0" fontId="28" fillId="0" borderId="10" xfId="0" applyFont="1" applyBorder="1" applyAlignment="1">
      <alignment vertical="center"/>
    </xf>
    <xf numFmtId="1" fontId="33" fillId="23" borderId="11" xfId="0" applyNumberFormat="1" applyFont="1" applyFill="1" applyBorder="1" applyAlignment="1">
      <alignment horizontal="center" vertical="center"/>
    </xf>
    <xf numFmtId="9" fontId="33" fillId="23" borderId="11" xfId="40" applyFont="1" applyFill="1" applyBorder="1" applyAlignment="1" applyProtection="1">
      <alignment horizontal="center" vertical="center"/>
    </xf>
    <xf numFmtId="1" fontId="33" fillId="0" borderId="11" xfId="0" applyNumberFormat="1" applyFont="1" applyBorder="1" applyAlignment="1">
      <alignment horizontal="center" vertical="center"/>
    </xf>
    <xf numFmtId="0" fontId="34" fillId="0" borderId="10" xfId="0" applyFont="1" applyBorder="1" applyAlignment="1">
      <alignment vertical="center"/>
    </xf>
    <xf numFmtId="0" fontId="28" fillId="0" borderId="10" xfId="0" applyFont="1" applyBorder="1" applyAlignment="1">
      <alignment horizontal="center" vertical="center"/>
    </xf>
    <xf numFmtId="1" fontId="28" fillId="0" borderId="10" xfId="40" applyNumberFormat="1" applyFont="1" applyFill="1" applyBorder="1" applyAlignment="1" applyProtection="1">
      <alignment horizontal="center" vertical="center"/>
    </xf>
    <xf numFmtId="9" fontId="28" fillId="0" borderId="10" xfId="40" applyFont="1" applyFill="1" applyBorder="1" applyAlignment="1" applyProtection="1">
      <alignment horizontal="center" vertical="center"/>
    </xf>
    <xf numFmtId="1" fontId="28" fillId="0" borderId="10" xfId="0" applyNumberFormat="1" applyFont="1" applyBorder="1" applyAlignment="1">
      <alignment horizontal="center" vertical="center"/>
    </xf>
    <xf numFmtId="0" fontId="28" fillId="0" borderId="0" xfId="0" applyFont="1" applyAlignment="1">
      <alignment vertical="center"/>
    </xf>
    <xf numFmtId="166" fontId="3" fillId="0" borderId="12" xfId="0" applyNumberFormat="1" applyFont="1" applyBorder="1" applyAlignment="1">
      <alignment horizontal="center" vertical="center" shrinkToFit="1"/>
    </xf>
    <xf numFmtId="0" fontId="32" fillId="21" borderId="13" xfId="0" applyFont="1" applyFill="1" applyBorder="1" applyAlignment="1">
      <alignment horizontal="left" vertical="center"/>
    </xf>
    <xf numFmtId="0" fontId="32" fillId="21" borderId="13" xfId="0" applyFont="1" applyFill="1" applyBorder="1" applyAlignment="1">
      <alignment vertical="center"/>
    </xf>
    <xf numFmtId="0" fontId="28" fillId="21" borderId="13" xfId="0" applyFont="1" applyFill="1" applyBorder="1" applyAlignment="1">
      <alignment vertical="center"/>
    </xf>
    <xf numFmtId="0" fontId="28" fillId="21" borderId="13" xfId="0" applyFont="1" applyFill="1" applyBorder="1" applyAlignment="1">
      <alignment horizontal="center" vertical="center"/>
    </xf>
    <xf numFmtId="165" fontId="28" fillId="21" borderId="13" xfId="0" applyNumberFormat="1" applyFont="1" applyFill="1" applyBorder="1" applyAlignment="1">
      <alignment horizontal="right" vertical="center"/>
    </xf>
    <xf numFmtId="1" fontId="28" fillId="21" borderId="13" xfId="40" applyNumberFormat="1" applyFont="1" applyFill="1" applyBorder="1" applyAlignment="1" applyProtection="1">
      <alignment horizontal="center" vertical="center"/>
    </xf>
    <xf numFmtId="9" fontId="28" fillId="21" borderId="13" xfId="40" applyFont="1" applyFill="1" applyBorder="1" applyAlignment="1" applyProtection="1">
      <alignment horizontal="center" vertical="center"/>
    </xf>
    <xf numFmtId="1" fontId="28"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6" fillId="21" borderId="13" xfId="0" applyNumberFormat="1" applyFont="1" applyFill="1" applyBorder="1" applyAlignment="1">
      <alignment horizontal="center" vertical="center"/>
    </xf>
    <xf numFmtId="1" fontId="37" fillId="0" borderId="11" xfId="0" applyNumberFormat="1" applyFont="1" applyBorder="1" applyAlignment="1">
      <alignment horizontal="center" vertical="center"/>
    </xf>
    <xf numFmtId="1" fontId="36" fillId="21" borderId="10" xfId="0" applyNumberFormat="1" applyFont="1" applyFill="1" applyBorder="1" applyAlignment="1">
      <alignment horizontal="center" vertical="center"/>
    </xf>
    <xf numFmtId="1" fontId="36" fillId="0" borderId="10" xfId="0" applyNumberFormat="1" applyFont="1" applyBorder="1" applyAlignment="1">
      <alignment horizontal="center" vertical="center"/>
    </xf>
    <xf numFmtId="165" fontId="33" fillId="22" borderId="11" xfId="0" applyNumberFormat="1" applyFont="1" applyFill="1" applyBorder="1" applyAlignment="1">
      <alignment horizontal="center" vertical="center"/>
    </xf>
    <xf numFmtId="165" fontId="33" fillId="0" borderId="11" xfId="0" applyNumberFormat="1" applyFont="1" applyBorder="1" applyAlignment="1">
      <alignment horizontal="center" vertical="center"/>
    </xf>
    <xf numFmtId="165" fontId="28" fillId="21" borderId="10" xfId="0" applyNumberFormat="1" applyFont="1" applyFill="1" applyBorder="1" applyAlignment="1">
      <alignment horizontal="center" vertical="center"/>
    </xf>
    <xf numFmtId="0" fontId="34" fillId="0" borderId="10" xfId="0" applyFont="1" applyBorder="1" applyAlignment="1">
      <alignment horizontal="center" vertical="center"/>
    </xf>
    <xf numFmtId="0" fontId="28" fillId="21" borderId="13" xfId="0" applyFont="1" applyFill="1" applyBorder="1" applyAlignment="1">
      <alignment horizontal="left" vertical="center"/>
    </xf>
    <xf numFmtId="9" fontId="28" fillId="0" borderId="10" xfId="0" applyNumberFormat="1" applyFont="1" applyBorder="1" applyAlignment="1">
      <alignment horizontal="left" vertical="center"/>
    </xf>
    <xf numFmtId="0" fontId="28" fillId="21" borderId="10" xfId="0" applyFont="1" applyFill="1" applyBorder="1" applyAlignment="1">
      <alignment horizontal="left" vertical="center"/>
    </xf>
    <xf numFmtId="0" fontId="38" fillId="0" borderId="0" xfId="0" applyFont="1"/>
    <xf numFmtId="0" fontId="38" fillId="0" borderId="0" xfId="0" applyFont="1" applyAlignment="1">
      <alignment horizontal="right" vertical="center"/>
    </xf>
    <xf numFmtId="165" fontId="28" fillId="21" borderId="13" xfId="0" applyNumberFormat="1" applyFont="1" applyFill="1" applyBorder="1" applyAlignment="1">
      <alignment horizontal="center" vertical="center"/>
    </xf>
    <xf numFmtId="0" fontId="39" fillId="0" borderId="17" xfId="0" applyFont="1" applyBorder="1" applyAlignment="1">
      <alignment horizontal="left" vertical="center"/>
    </xf>
    <xf numFmtId="0" fontId="39" fillId="0" borderId="17" xfId="0" applyFont="1" applyBorder="1" applyAlignment="1">
      <alignment horizontal="center" vertical="center" wrapText="1"/>
    </xf>
    <xf numFmtId="0" fontId="40" fillId="0" borderId="17" xfId="0" applyFont="1" applyBorder="1" applyAlignment="1">
      <alignment horizontal="center" vertical="center" wrapText="1"/>
    </xf>
    <xf numFmtId="0" fontId="39" fillId="0" borderId="17" xfId="0" applyFont="1" applyBorder="1" applyAlignment="1">
      <alignment horizontal="center" vertical="center"/>
    </xf>
    <xf numFmtId="0" fontId="28" fillId="0" borderId="18" xfId="0" applyFont="1" applyBorder="1" applyAlignment="1">
      <alignment horizontal="center" vertical="center" shrinkToFit="1"/>
    </xf>
    <xf numFmtId="0" fontId="28" fillId="0" borderId="19" xfId="0" applyFont="1" applyBorder="1" applyAlignment="1">
      <alignment horizontal="center" vertical="center" shrinkToFit="1"/>
    </xf>
    <xf numFmtId="0" fontId="28" fillId="0" borderId="20" xfId="0" applyFont="1" applyBorder="1" applyAlignment="1">
      <alignment horizontal="center" vertical="center" shrinkToFit="1"/>
    </xf>
    <xf numFmtId="0" fontId="41" fillId="0" borderId="0" xfId="0" applyFont="1" applyAlignment="1" applyProtection="1">
      <alignment vertical="center"/>
      <protection locked="0"/>
    </xf>
    <xf numFmtId="0" fontId="28" fillId="0" borderId="10" xfId="0" applyFont="1" applyBorder="1" applyAlignment="1">
      <alignment vertical="center" wrapText="1"/>
    </xf>
    <xf numFmtId="0" fontId="33" fillId="0" borderId="11" xfId="0" applyFont="1" applyBorder="1" applyAlignment="1">
      <alignment horizontal="center" vertical="center"/>
    </xf>
    <xf numFmtId="0" fontId="31"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3" fillId="0" borderId="0" xfId="0" applyFont="1" applyAlignment="1">
      <alignment horizontal="center" vertical="center"/>
    </xf>
    <xf numFmtId="1" fontId="37" fillId="0" borderId="0" xfId="0" applyNumberFormat="1" applyFont="1" applyAlignment="1">
      <alignment horizontal="center" vertical="center"/>
    </xf>
    <xf numFmtId="0" fontId="42" fillId="0" borderId="0" xfId="34" applyFont="1" applyBorder="1" applyAlignment="1" applyProtection="1">
      <alignment horizontal="left" vertical="center"/>
    </xf>
    <xf numFmtId="164" fontId="31" fillId="0" borderId="14" xfId="0" applyNumberFormat="1" applyFont="1" applyBorder="1" applyAlignment="1" applyProtection="1">
      <alignment horizontal="center" vertical="center" shrinkToFit="1"/>
      <protection locked="0"/>
    </xf>
    <xf numFmtId="0" fontId="35" fillId="0" borderId="15" xfId="0" applyFont="1" applyBorder="1" applyAlignment="1">
      <alignment horizontal="center" vertical="center"/>
    </xf>
    <xf numFmtId="0" fontId="35" fillId="0" borderId="12" xfId="0" applyFont="1" applyBorder="1" applyAlignment="1">
      <alignment horizontal="center" vertical="center"/>
    </xf>
    <xf numFmtId="0" fontId="35" fillId="0" borderId="16" xfId="0" applyFont="1" applyBorder="1" applyAlignment="1">
      <alignment horizontal="center" vertical="center"/>
    </xf>
    <xf numFmtId="164" fontId="31" fillId="0" borderId="21" xfId="0" applyNumberFormat="1" applyFont="1" applyBorder="1" applyAlignment="1" applyProtection="1">
      <alignment horizontal="center" vertical="center" shrinkToFit="1"/>
      <protection locked="0"/>
    </xf>
    <xf numFmtId="167" fontId="31" fillId="0" borderId="15" xfId="0" applyNumberFormat="1" applyFont="1" applyBorder="1" applyAlignment="1">
      <alignment horizontal="center" vertical="center"/>
    </xf>
    <xf numFmtId="167" fontId="31" fillId="0" borderId="12" xfId="0" applyNumberFormat="1" applyFont="1" applyBorder="1" applyAlignment="1">
      <alignment horizontal="center" vertical="center"/>
    </xf>
    <xf numFmtId="167" fontId="31" fillId="0" borderId="16"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5</xdr:col>
      <xdr:colOff>3175</xdr:colOff>
      <xdr:row>5</xdr:row>
      <xdr:rowOff>142875</xdr:rowOff>
    </xdr:from>
    <xdr:to>
      <xdr:col>14</xdr:col>
      <xdr:colOff>0</xdr:colOff>
      <xdr:row>10</xdr:row>
      <xdr:rowOff>149013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99060</xdr:colOff>
          <xdr:row>1</xdr:row>
          <xdr:rowOff>129540</xdr:rowOff>
        </xdr:from>
        <xdr:to>
          <xdr:col>27</xdr:col>
          <xdr:colOff>99060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28"/>
  <sheetViews>
    <sheetView showGridLines="0" tabSelected="1" zoomScaleNormal="100" workbookViewId="0">
      <pane ySplit="7" topLeftCell="A8" activePane="bottomLeft" state="frozen"/>
      <selection pane="bottomLeft" activeCell="F1" sqref="F1"/>
    </sheetView>
  </sheetViews>
  <sheetFormatPr defaultColWidth="9.109375" defaultRowHeight="13.2" x14ac:dyDescent="0.25"/>
  <cols>
    <col min="1" max="1" width="6.88671875" customWidth="1"/>
    <col min="2" max="2" width="32.6640625" customWidth="1"/>
    <col min="3" max="3" width="21" customWidth="1"/>
    <col min="4" max="4" width="6.88671875" hidden="1" customWidth="1"/>
    <col min="5" max="5" width="15" customWidth="1"/>
    <col min="6" max="6" width="13.44140625" customWidth="1"/>
    <col min="7" max="7" width="6.88671875" customWidth="1"/>
    <col min="8" max="8" width="10.109375" customWidth="1"/>
    <col min="9" max="9" width="6.33203125" customWidth="1"/>
    <col min="10" max="10" width="1.88671875" customWidth="1"/>
    <col min="11" max="66" width="2.33203125" customWidth="1"/>
  </cols>
  <sheetData>
    <row r="1" spans="1:66" ht="30" customHeight="1" x14ac:dyDescent="0.25">
      <c r="A1" s="59" t="s">
        <v>36</v>
      </c>
      <c r="B1" s="5"/>
      <c r="C1" s="5"/>
      <c r="D1" s="5"/>
      <c r="E1" s="5"/>
      <c r="F1" s="5"/>
      <c r="I1" s="63"/>
      <c r="K1" s="67"/>
      <c r="L1" s="67"/>
      <c r="M1" s="67"/>
      <c r="N1" s="67"/>
      <c r="O1" s="67"/>
      <c r="P1" s="67"/>
      <c r="Q1" s="67"/>
      <c r="R1" s="67"/>
      <c r="S1" s="67"/>
      <c r="T1" s="67"/>
      <c r="U1" s="67"/>
      <c r="V1" s="67"/>
      <c r="W1" s="67"/>
      <c r="X1" s="67"/>
      <c r="Y1" s="67"/>
      <c r="Z1" s="67"/>
      <c r="AA1" s="67"/>
      <c r="AB1" s="67"/>
      <c r="AC1" s="67"/>
      <c r="AD1" s="67"/>
      <c r="AE1" s="67"/>
    </row>
    <row r="2" spans="1:66" ht="18" customHeight="1" x14ac:dyDescent="0.25">
      <c r="A2" s="8" t="s">
        <v>38</v>
      </c>
      <c r="B2" s="2"/>
      <c r="C2" s="2"/>
      <c r="D2" s="4"/>
      <c r="E2" s="64"/>
      <c r="F2" s="64"/>
      <c r="H2" s="1"/>
    </row>
    <row r="3" spans="1:66" ht="13.8" x14ac:dyDescent="0.25">
      <c r="A3" s="8" t="s">
        <v>37</v>
      </c>
      <c r="B3" s="6"/>
      <c r="H3" s="1"/>
      <c r="K3" s="3"/>
      <c r="L3" s="3"/>
      <c r="M3" s="3"/>
      <c r="N3" s="3"/>
      <c r="O3" s="3"/>
      <c r="P3" s="3"/>
      <c r="Q3" s="3"/>
      <c r="R3" s="3"/>
      <c r="S3" s="3"/>
      <c r="T3" s="3"/>
      <c r="U3" s="3"/>
      <c r="V3" s="3"/>
      <c r="W3" s="3"/>
      <c r="X3" s="3"/>
      <c r="Y3" s="3"/>
      <c r="Z3" s="3"/>
      <c r="AA3" s="3"/>
    </row>
    <row r="4" spans="1:66" ht="17.25" customHeight="1" x14ac:dyDescent="0.25">
      <c r="A4" s="49"/>
      <c r="B4" s="50" t="s">
        <v>0</v>
      </c>
      <c r="C4" s="72">
        <v>46080</v>
      </c>
      <c r="D4" s="72"/>
      <c r="E4" s="72"/>
      <c r="F4" s="49"/>
      <c r="G4" s="50" t="s">
        <v>1</v>
      </c>
      <c r="H4" s="62">
        <v>1</v>
      </c>
      <c r="I4" s="6"/>
      <c r="J4" s="7"/>
      <c r="K4" s="69" t="str">
        <f>"Week "&amp;(K6-($C$4-WEEKDAY($C$4,1)+2))/7+1</f>
        <v>Week 1</v>
      </c>
      <c r="L4" s="70"/>
      <c r="M4" s="70"/>
      <c r="N4" s="70"/>
      <c r="O4" s="70"/>
      <c r="P4" s="70"/>
      <c r="Q4" s="71"/>
      <c r="R4" s="69" t="str">
        <f>"Week "&amp;(R6-($C$4-WEEKDAY($C$4,1)+2))/7+1</f>
        <v>Week 2</v>
      </c>
      <c r="S4" s="70"/>
      <c r="T4" s="70"/>
      <c r="U4" s="70"/>
      <c r="V4" s="70"/>
      <c r="W4" s="70"/>
      <c r="X4" s="71"/>
      <c r="Y4" s="69" t="str">
        <f>"Week "&amp;(Y6-($C$4-WEEKDAY($C$4,1)+2))/7+1</f>
        <v>Week 3</v>
      </c>
      <c r="Z4" s="70"/>
      <c r="AA4" s="70"/>
      <c r="AB4" s="70"/>
      <c r="AC4" s="70"/>
      <c r="AD4" s="70"/>
      <c r="AE4" s="71"/>
      <c r="AF4" s="69" t="str">
        <f>"Week "&amp;(AF6-($C$4-WEEKDAY($C$4,1)+2))/7+1</f>
        <v>Week 4</v>
      </c>
      <c r="AG4" s="70"/>
      <c r="AH4" s="70"/>
      <c r="AI4" s="70"/>
      <c r="AJ4" s="70"/>
      <c r="AK4" s="70"/>
      <c r="AL4" s="71"/>
      <c r="AM4" s="69" t="str">
        <f>"Week "&amp;(AM6-($C$4-WEEKDAY($C$4,1)+2))/7+1</f>
        <v>Week 5</v>
      </c>
      <c r="AN4" s="70"/>
      <c r="AO4" s="70"/>
      <c r="AP4" s="70"/>
      <c r="AQ4" s="70"/>
      <c r="AR4" s="70"/>
      <c r="AS4" s="71"/>
      <c r="AT4" s="69" t="str">
        <f>"Week "&amp;(AT6-($C$4-WEEKDAY($C$4,1)+2))/7+1</f>
        <v>Week 6</v>
      </c>
      <c r="AU4" s="70"/>
      <c r="AV4" s="70"/>
      <c r="AW4" s="70"/>
      <c r="AX4" s="70"/>
      <c r="AY4" s="70"/>
      <c r="AZ4" s="71"/>
      <c r="BA4" s="69" t="str">
        <f>"Week "&amp;(BA6-($C$4-WEEKDAY($C$4,1)+2))/7+1</f>
        <v>Week 7</v>
      </c>
      <c r="BB4" s="70"/>
      <c r="BC4" s="70"/>
      <c r="BD4" s="70"/>
      <c r="BE4" s="70"/>
      <c r="BF4" s="70"/>
      <c r="BG4" s="71"/>
      <c r="BH4" s="69" t="str">
        <f>"Week "&amp;(BH6-($C$4-WEEKDAY($C$4,1)+2))/7+1</f>
        <v>Week 8</v>
      </c>
      <c r="BI4" s="70"/>
      <c r="BJ4" s="70"/>
      <c r="BK4" s="70"/>
      <c r="BL4" s="70"/>
      <c r="BM4" s="70"/>
      <c r="BN4" s="71"/>
    </row>
    <row r="5" spans="1:66" ht="17.25" customHeight="1" x14ac:dyDescent="0.25">
      <c r="A5" s="49"/>
      <c r="B5" s="50"/>
      <c r="C5" s="68"/>
      <c r="D5" s="68"/>
      <c r="E5" s="68"/>
      <c r="F5" s="49"/>
      <c r="G5" s="49"/>
      <c r="H5" s="49"/>
      <c r="I5" s="49"/>
      <c r="J5" s="7"/>
      <c r="K5" s="73">
        <f>K6</f>
        <v>46076</v>
      </c>
      <c r="L5" s="74"/>
      <c r="M5" s="74"/>
      <c r="N5" s="74"/>
      <c r="O5" s="74"/>
      <c r="P5" s="74"/>
      <c r="Q5" s="75"/>
      <c r="R5" s="73">
        <f>R6</f>
        <v>46083</v>
      </c>
      <c r="S5" s="74"/>
      <c r="T5" s="74"/>
      <c r="U5" s="74"/>
      <c r="V5" s="74"/>
      <c r="W5" s="74"/>
      <c r="X5" s="75"/>
      <c r="Y5" s="73">
        <f>Y6</f>
        <v>46090</v>
      </c>
      <c r="Z5" s="74"/>
      <c r="AA5" s="74"/>
      <c r="AB5" s="74"/>
      <c r="AC5" s="74"/>
      <c r="AD5" s="74"/>
      <c r="AE5" s="75"/>
      <c r="AF5" s="73">
        <f>AF6</f>
        <v>46097</v>
      </c>
      <c r="AG5" s="74"/>
      <c r="AH5" s="74"/>
      <c r="AI5" s="74"/>
      <c r="AJ5" s="74"/>
      <c r="AK5" s="74"/>
      <c r="AL5" s="75"/>
      <c r="AM5" s="73">
        <f>AM6</f>
        <v>46104</v>
      </c>
      <c r="AN5" s="74"/>
      <c r="AO5" s="74"/>
      <c r="AP5" s="74"/>
      <c r="AQ5" s="74"/>
      <c r="AR5" s="74"/>
      <c r="AS5" s="75"/>
      <c r="AT5" s="73">
        <f>AT6</f>
        <v>46111</v>
      </c>
      <c r="AU5" s="74"/>
      <c r="AV5" s="74"/>
      <c r="AW5" s="74"/>
      <c r="AX5" s="74"/>
      <c r="AY5" s="74"/>
      <c r="AZ5" s="75"/>
      <c r="BA5" s="73">
        <f>BA6</f>
        <v>46118</v>
      </c>
      <c r="BB5" s="74"/>
      <c r="BC5" s="74"/>
      <c r="BD5" s="74"/>
      <c r="BE5" s="74"/>
      <c r="BF5" s="74"/>
      <c r="BG5" s="75"/>
      <c r="BH5" s="73">
        <f>BH6</f>
        <v>46125</v>
      </c>
      <c r="BI5" s="74"/>
      <c r="BJ5" s="74"/>
      <c r="BK5" s="74"/>
      <c r="BL5" s="74"/>
      <c r="BM5" s="74"/>
      <c r="BN5" s="75"/>
    </row>
    <row r="6" spans="1:66" x14ac:dyDescent="0.25">
      <c r="A6" s="7"/>
      <c r="B6" s="7"/>
      <c r="C6" s="7"/>
      <c r="D6" s="7"/>
      <c r="E6" s="7"/>
      <c r="F6" s="7"/>
      <c r="G6" s="7"/>
      <c r="H6" s="7"/>
      <c r="I6" s="7"/>
      <c r="J6" s="7"/>
      <c r="K6" s="36">
        <f>C4-WEEKDAY(C4,1)+2+7*(H4-1)</f>
        <v>46076</v>
      </c>
      <c r="L6" s="27">
        <f t="shared" ref="L6:AQ6" si="0">K6+1</f>
        <v>46077</v>
      </c>
      <c r="M6" s="27">
        <f t="shared" si="0"/>
        <v>46078</v>
      </c>
      <c r="N6" s="27">
        <f t="shared" si="0"/>
        <v>46079</v>
      </c>
      <c r="O6" s="27">
        <f t="shared" si="0"/>
        <v>46080</v>
      </c>
      <c r="P6" s="27">
        <f t="shared" si="0"/>
        <v>46081</v>
      </c>
      <c r="Q6" s="37">
        <f t="shared" si="0"/>
        <v>46082</v>
      </c>
      <c r="R6" s="36">
        <f t="shared" si="0"/>
        <v>46083</v>
      </c>
      <c r="S6" s="27">
        <f t="shared" si="0"/>
        <v>46084</v>
      </c>
      <c r="T6" s="27">
        <f t="shared" si="0"/>
        <v>46085</v>
      </c>
      <c r="U6" s="27">
        <f t="shared" si="0"/>
        <v>46086</v>
      </c>
      <c r="V6" s="27">
        <f t="shared" si="0"/>
        <v>46087</v>
      </c>
      <c r="W6" s="27">
        <f t="shared" si="0"/>
        <v>46088</v>
      </c>
      <c r="X6" s="37">
        <f t="shared" si="0"/>
        <v>46089</v>
      </c>
      <c r="Y6" s="36">
        <f t="shared" si="0"/>
        <v>46090</v>
      </c>
      <c r="Z6" s="27">
        <f t="shared" si="0"/>
        <v>46091</v>
      </c>
      <c r="AA6" s="27">
        <f t="shared" si="0"/>
        <v>46092</v>
      </c>
      <c r="AB6" s="27">
        <f t="shared" si="0"/>
        <v>46093</v>
      </c>
      <c r="AC6" s="27">
        <f t="shared" si="0"/>
        <v>46094</v>
      </c>
      <c r="AD6" s="27">
        <f t="shared" si="0"/>
        <v>46095</v>
      </c>
      <c r="AE6" s="37">
        <f t="shared" si="0"/>
        <v>46096</v>
      </c>
      <c r="AF6" s="36">
        <f t="shared" si="0"/>
        <v>46097</v>
      </c>
      <c r="AG6" s="27">
        <f t="shared" si="0"/>
        <v>46098</v>
      </c>
      <c r="AH6" s="27">
        <f t="shared" si="0"/>
        <v>46099</v>
      </c>
      <c r="AI6" s="27">
        <f t="shared" si="0"/>
        <v>46100</v>
      </c>
      <c r="AJ6" s="27">
        <f t="shared" si="0"/>
        <v>46101</v>
      </c>
      <c r="AK6" s="27">
        <f t="shared" si="0"/>
        <v>46102</v>
      </c>
      <c r="AL6" s="37">
        <f t="shared" si="0"/>
        <v>46103</v>
      </c>
      <c r="AM6" s="36">
        <f t="shared" si="0"/>
        <v>46104</v>
      </c>
      <c r="AN6" s="27">
        <f t="shared" si="0"/>
        <v>46105</v>
      </c>
      <c r="AO6" s="27">
        <f t="shared" si="0"/>
        <v>46106</v>
      </c>
      <c r="AP6" s="27">
        <f t="shared" si="0"/>
        <v>46107</v>
      </c>
      <c r="AQ6" s="27">
        <f t="shared" si="0"/>
        <v>46108</v>
      </c>
      <c r="AR6" s="27">
        <f t="shared" ref="AR6:BN6" si="1">AQ6+1</f>
        <v>46109</v>
      </c>
      <c r="AS6" s="37">
        <f t="shared" si="1"/>
        <v>46110</v>
      </c>
      <c r="AT6" s="36">
        <f t="shared" si="1"/>
        <v>46111</v>
      </c>
      <c r="AU6" s="27">
        <f t="shared" si="1"/>
        <v>46112</v>
      </c>
      <c r="AV6" s="27">
        <f t="shared" si="1"/>
        <v>46113</v>
      </c>
      <c r="AW6" s="27">
        <f t="shared" si="1"/>
        <v>46114</v>
      </c>
      <c r="AX6" s="27">
        <f t="shared" si="1"/>
        <v>46115</v>
      </c>
      <c r="AY6" s="27">
        <f t="shared" si="1"/>
        <v>46116</v>
      </c>
      <c r="AZ6" s="37">
        <f t="shared" si="1"/>
        <v>46117</v>
      </c>
      <c r="BA6" s="36">
        <f t="shared" si="1"/>
        <v>46118</v>
      </c>
      <c r="BB6" s="27">
        <f t="shared" si="1"/>
        <v>46119</v>
      </c>
      <c r="BC6" s="27">
        <f t="shared" si="1"/>
        <v>46120</v>
      </c>
      <c r="BD6" s="27">
        <f t="shared" si="1"/>
        <v>46121</v>
      </c>
      <c r="BE6" s="27">
        <f t="shared" si="1"/>
        <v>46122</v>
      </c>
      <c r="BF6" s="27">
        <f t="shared" si="1"/>
        <v>46123</v>
      </c>
      <c r="BG6" s="37">
        <f t="shared" si="1"/>
        <v>46124</v>
      </c>
      <c r="BH6" s="36">
        <f t="shared" si="1"/>
        <v>46125</v>
      </c>
      <c r="BI6" s="27">
        <f t="shared" si="1"/>
        <v>46126</v>
      </c>
      <c r="BJ6" s="27">
        <f t="shared" si="1"/>
        <v>46127</v>
      </c>
      <c r="BK6" s="27">
        <f t="shared" si="1"/>
        <v>46128</v>
      </c>
      <c r="BL6" s="27">
        <f t="shared" si="1"/>
        <v>46129</v>
      </c>
      <c r="BM6" s="27">
        <f t="shared" si="1"/>
        <v>46130</v>
      </c>
      <c r="BN6" s="37">
        <f t="shared" si="1"/>
        <v>46131</v>
      </c>
    </row>
    <row r="7" spans="1:66" s="6" customFormat="1" ht="24.6" thickBot="1" x14ac:dyDescent="0.3">
      <c r="A7" s="52" t="s">
        <v>2</v>
      </c>
      <c r="B7" s="52" t="s">
        <v>3</v>
      </c>
      <c r="C7" s="53" t="s">
        <v>4</v>
      </c>
      <c r="D7" s="54" t="s">
        <v>5</v>
      </c>
      <c r="E7" s="55" t="s">
        <v>6</v>
      </c>
      <c r="F7" s="55" t="s">
        <v>7</v>
      </c>
      <c r="G7" s="53" t="s">
        <v>8</v>
      </c>
      <c r="H7" s="53" t="s">
        <v>9</v>
      </c>
      <c r="I7" s="53" t="s">
        <v>10</v>
      </c>
      <c r="J7" s="53"/>
      <c r="K7" s="56" t="str">
        <f t="shared" ref="K7:AP7" si="2">CHOOSE(WEEKDAY(K6,1),"S","M","T","W","T","F","S")</f>
        <v>M</v>
      </c>
      <c r="L7" s="57" t="str">
        <f t="shared" si="2"/>
        <v>T</v>
      </c>
      <c r="M7" s="57" t="str">
        <f t="shared" si="2"/>
        <v>W</v>
      </c>
      <c r="N7" s="57" t="str">
        <f t="shared" si="2"/>
        <v>T</v>
      </c>
      <c r="O7" s="57" t="str">
        <f t="shared" si="2"/>
        <v>F</v>
      </c>
      <c r="P7" s="57" t="str">
        <f t="shared" si="2"/>
        <v>S</v>
      </c>
      <c r="Q7" s="58" t="str">
        <f t="shared" si="2"/>
        <v>S</v>
      </c>
      <c r="R7" s="56" t="str">
        <f t="shared" si="2"/>
        <v>M</v>
      </c>
      <c r="S7" s="57" t="str">
        <f t="shared" si="2"/>
        <v>T</v>
      </c>
      <c r="T7" s="57" t="str">
        <f t="shared" si="2"/>
        <v>W</v>
      </c>
      <c r="U7" s="57" t="str">
        <f t="shared" si="2"/>
        <v>T</v>
      </c>
      <c r="V7" s="57" t="str">
        <f t="shared" si="2"/>
        <v>F</v>
      </c>
      <c r="W7" s="57" t="str">
        <f t="shared" si="2"/>
        <v>S</v>
      </c>
      <c r="X7" s="58" t="str">
        <f t="shared" si="2"/>
        <v>S</v>
      </c>
      <c r="Y7" s="56" t="str">
        <f t="shared" si="2"/>
        <v>M</v>
      </c>
      <c r="Z7" s="57" t="str">
        <f t="shared" si="2"/>
        <v>T</v>
      </c>
      <c r="AA7" s="57" t="str">
        <f t="shared" si="2"/>
        <v>W</v>
      </c>
      <c r="AB7" s="57" t="str">
        <f t="shared" si="2"/>
        <v>T</v>
      </c>
      <c r="AC7" s="57" t="str">
        <f t="shared" si="2"/>
        <v>F</v>
      </c>
      <c r="AD7" s="57" t="str">
        <f t="shared" si="2"/>
        <v>S</v>
      </c>
      <c r="AE7" s="58" t="str">
        <f t="shared" si="2"/>
        <v>S</v>
      </c>
      <c r="AF7" s="56" t="str">
        <f t="shared" si="2"/>
        <v>M</v>
      </c>
      <c r="AG7" s="57" t="str">
        <f t="shared" si="2"/>
        <v>T</v>
      </c>
      <c r="AH7" s="57" t="str">
        <f t="shared" si="2"/>
        <v>W</v>
      </c>
      <c r="AI7" s="57" t="str">
        <f t="shared" si="2"/>
        <v>T</v>
      </c>
      <c r="AJ7" s="57" t="str">
        <f t="shared" si="2"/>
        <v>F</v>
      </c>
      <c r="AK7" s="57" t="str">
        <f t="shared" si="2"/>
        <v>S</v>
      </c>
      <c r="AL7" s="58" t="str">
        <f t="shared" si="2"/>
        <v>S</v>
      </c>
      <c r="AM7" s="56" t="str">
        <f t="shared" si="2"/>
        <v>M</v>
      </c>
      <c r="AN7" s="57" t="str">
        <f t="shared" si="2"/>
        <v>T</v>
      </c>
      <c r="AO7" s="57" t="str">
        <f t="shared" si="2"/>
        <v>W</v>
      </c>
      <c r="AP7" s="57" t="str">
        <f t="shared" si="2"/>
        <v>T</v>
      </c>
      <c r="AQ7" s="57" t="str">
        <f t="shared" ref="AQ7:BN7" si="3">CHOOSE(WEEKDAY(AQ6,1),"S","M","T","W","T","F","S")</f>
        <v>F</v>
      </c>
      <c r="AR7" s="57" t="str">
        <f t="shared" si="3"/>
        <v>S</v>
      </c>
      <c r="AS7" s="58" t="str">
        <f t="shared" si="3"/>
        <v>S</v>
      </c>
      <c r="AT7" s="56" t="str">
        <f t="shared" si="3"/>
        <v>M</v>
      </c>
      <c r="AU7" s="57" t="str">
        <f t="shared" si="3"/>
        <v>T</v>
      </c>
      <c r="AV7" s="57" t="str">
        <f t="shared" si="3"/>
        <v>W</v>
      </c>
      <c r="AW7" s="57" t="str">
        <f t="shared" si="3"/>
        <v>T</v>
      </c>
      <c r="AX7" s="57" t="str">
        <f t="shared" si="3"/>
        <v>F</v>
      </c>
      <c r="AY7" s="57" t="str">
        <f t="shared" si="3"/>
        <v>S</v>
      </c>
      <c r="AZ7" s="58" t="str">
        <f t="shared" si="3"/>
        <v>S</v>
      </c>
      <c r="BA7" s="56" t="str">
        <f t="shared" si="3"/>
        <v>M</v>
      </c>
      <c r="BB7" s="57" t="str">
        <f t="shared" si="3"/>
        <v>T</v>
      </c>
      <c r="BC7" s="57" t="str">
        <f t="shared" si="3"/>
        <v>W</v>
      </c>
      <c r="BD7" s="57" t="str">
        <f t="shared" si="3"/>
        <v>T</v>
      </c>
      <c r="BE7" s="57" t="str">
        <f t="shared" si="3"/>
        <v>F</v>
      </c>
      <c r="BF7" s="57" t="str">
        <f t="shared" si="3"/>
        <v>S</v>
      </c>
      <c r="BG7" s="58" t="str">
        <f t="shared" si="3"/>
        <v>S</v>
      </c>
      <c r="BH7" s="56" t="str">
        <f t="shared" si="3"/>
        <v>M</v>
      </c>
      <c r="BI7" s="57" t="str">
        <f t="shared" si="3"/>
        <v>T</v>
      </c>
      <c r="BJ7" s="57" t="str">
        <f t="shared" si="3"/>
        <v>W</v>
      </c>
      <c r="BK7" s="57" t="str">
        <f t="shared" si="3"/>
        <v>T</v>
      </c>
      <c r="BL7" s="57" t="str">
        <f t="shared" si="3"/>
        <v>F</v>
      </c>
      <c r="BM7" s="57" t="str">
        <f t="shared" si="3"/>
        <v>S</v>
      </c>
      <c r="BN7" s="58" t="str">
        <f t="shared" si="3"/>
        <v>S</v>
      </c>
    </row>
    <row r="8" spans="1:66" s="11" customFormat="1" ht="17.399999999999999" x14ac:dyDescent="0.25">
      <c r="A8" s="28" t="str">
        <f>IF(ISERROR(VALUE(SUBSTITUTE(prevWBS,".",""))),"1",IF(ISERROR(FIND("`",SUBSTITUTE(prevWBS,".","`",1))),TEXT(VALUE(prevWBS)+1,"#"),TEXT(VALUE(LEFT(prevWBS,FIND("`",SUBSTITUTE(prevWBS,".","`",1))-1))+1,"#")))</f>
        <v>1</v>
      </c>
      <c r="B8" s="29" t="s">
        <v>11</v>
      </c>
      <c r="C8" s="30"/>
      <c r="D8" s="31"/>
      <c r="E8" s="32"/>
      <c r="F8" s="51" t="str">
        <f>IF(ISBLANK(E8)," - ",IF(G8=0,E8,E8+G8-1))</f>
        <v xml:space="preserve"> - </v>
      </c>
      <c r="G8" s="33"/>
      <c r="H8" s="34"/>
      <c r="I8" s="35" t="str">
        <f t="shared" ref="I8:I28" si="4">IF(OR(F8=0,E8=0)," - ",NETWORKDAYS(E8,F8))</f>
        <v xml:space="preserve"> - </v>
      </c>
      <c r="J8" s="38"/>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row>
    <row r="9" spans="1:66" s="17" customFormat="1" ht="17.399999999999999" x14ac:dyDescent="0.25">
      <c r="A9" s="16" t="str">
        <f t="shared" ref="A9:A11"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60" t="s">
        <v>12</v>
      </c>
      <c r="C9" s="17" t="s">
        <v>13</v>
      </c>
      <c r="D9" s="61"/>
      <c r="E9" s="42">
        <v>46080</v>
      </c>
      <c r="F9" s="43">
        <f>IF(ISBLANK(E9)," - ",IF(G9=0,E9,E9+G9-1))</f>
        <v>46083</v>
      </c>
      <c r="G9" s="18">
        <v>4</v>
      </c>
      <c r="H9" s="19">
        <v>0</v>
      </c>
      <c r="I9" s="20">
        <f t="shared" si="4"/>
        <v>2</v>
      </c>
      <c r="J9" s="39"/>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row>
    <row r="10" spans="1:66" s="17" customFormat="1" ht="17.399999999999999" x14ac:dyDescent="0.25">
      <c r="A10" s="16" t="str">
        <f t="shared" si="5"/>
        <v>1.2</v>
      </c>
      <c r="B10" s="60" t="s">
        <v>23</v>
      </c>
      <c r="C10" s="17" t="s">
        <v>13</v>
      </c>
      <c r="D10" s="61"/>
      <c r="E10" s="42">
        <v>46080</v>
      </c>
      <c r="F10" s="43">
        <f t="shared" ref="F10:F27" si="6">IF(ISBLANK(E10)," - ",IF(G10=0,E10,E10+G10-1))</f>
        <v>46083</v>
      </c>
      <c r="G10" s="18">
        <v>4</v>
      </c>
      <c r="H10" s="19">
        <v>0</v>
      </c>
      <c r="I10" s="20">
        <f t="shared" si="4"/>
        <v>2</v>
      </c>
      <c r="J10" s="39"/>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row>
    <row r="11" spans="1:66" s="17" customFormat="1" ht="17.399999999999999" x14ac:dyDescent="0.25">
      <c r="A11" s="16" t="str">
        <f t="shared" si="5"/>
        <v>1.3</v>
      </c>
      <c r="B11" s="60" t="s">
        <v>14</v>
      </c>
      <c r="C11" s="17" t="s">
        <v>15</v>
      </c>
      <c r="D11" s="61"/>
      <c r="E11" s="42">
        <v>46080</v>
      </c>
      <c r="F11" s="43">
        <f t="shared" si="6"/>
        <v>46083</v>
      </c>
      <c r="G11" s="18">
        <v>4</v>
      </c>
      <c r="H11" s="19">
        <v>0</v>
      </c>
      <c r="I11" s="20">
        <f t="shared" si="4"/>
        <v>2</v>
      </c>
      <c r="J11" s="39"/>
      <c r="K11" s="16"/>
      <c r="L11" s="16"/>
      <c r="M11" s="47"/>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row>
    <row r="12" spans="1:66" s="11" customFormat="1" ht="17.399999999999999" x14ac:dyDescent="0.25">
      <c r="A12" s="9" t="str">
        <f>IF(ISERROR(VALUE(SUBSTITUTE(prevWBS,".",""))),"1",IF(ISERROR(FIND("`",SUBSTITUTE(prevWBS,".","`",1))),TEXT(VALUE(prevWBS)+1,"#"),TEXT(VALUE(LEFT(prevWBS,FIND("`",SUBSTITUTE(prevWBS,".","`",1))-1))+1,"#")))</f>
        <v>2</v>
      </c>
      <c r="B12" s="10" t="s">
        <v>28</v>
      </c>
      <c r="D12" s="12"/>
      <c r="E12" s="44"/>
      <c r="F12" s="44" t="str">
        <f t="shared" si="6"/>
        <v xml:space="preserve"> - </v>
      </c>
      <c r="G12" s="13"/>
      <c r="H12" s="14"/>
      <c r="I12" s="15" t="str">
        <f t="shared" si="4"/>
        <v xml:space="preserve"> - </v>
      </c>
      <c r="J12" s="40"/>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row>
    <row r="13" spans="1:66" s="17" customFormat="1" ht="39" customHeight="1" x14ac:dyDescent="0.25">
      <c r="A1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3" s="60" t="s">
        <v>24</v>
      </c>
      <c r="C13" s="17" t="s">
        <v>15</v>
      </c>
      <c r="D13" s="61"/>
      <c r="E13" s="42">
        <v>46083</v>
      </c>
      <c r="F13" s="43">
        <f t="shared" si="6"/>
        <v>46096</v>
      </c>
      <c r="G13" s="18">
        <v>14</v>
      </c>
      <c r="H13" s="19">
        <v>0</v>
      </c>
      <c r="I13" s="20">
        <f t="shared" si="4"/>
        <v>10</v>
      </c>
      <c r="J13" s="39"/>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row>
    <row r="14" spans="1:66" s="17" customFormat="1" ht="17.399999999999999" x14ac:dyDescent="0.25">
      <c r="A1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4" s="60" t="s">
        <v>25</v>
      </c>
      <c r="C14" s="17" t="s">
        <v>15</v>
      </c>
      <c r="D14" s="61"/>
      <c r="E14" s="42">
        <v>46083</v>
      </c>
      <c r="F14" s="43">
        <f t="shared" si="6"/>
        <v>46096</v>
      </c>
      <c r="G14" s="18">
        <v>14</v>
      </c>
      <c r="H14" s="19">
        <v>0</v>
      </c>
      <c r="I14" s="20">
        <f t="shared" si="4"/>
        <v>10</v>
      </c>
      <c r="J14" s="39"/>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row>
    <row r="15" spans="1:66" s="17" customFormat="1" ht="17.399999999999999" x14ac:dyDescent="0.25">
      <c r="A15"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5" s="60" t="s">
        <v>26</v>
      </c>
      <c r="C15" s="17" t="s">
        <v>15</v>
      </c>
      <c r="D15" s="61"/>
      <c r="E15" s="42">
        <v>46083</v>
      </c>
      <c r="F15" s="43">
        <f t="shared" si="6"/>
        <v>46096</v>
      </c>
      <c r="G15" s="18">
        <v>14</v>
      </c>
      <c r="H15" s="19">
        <v>0</v>
      </c>
      <c r="I15" s="20">
        <f t="shared" si="4"/>
        <v>10</v>
      </c>
      <c r="J15" s="39"/>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row>
    <row r="16" spans="1:66" s="17" customFormat="1" ht="17.399999999999999" x14ac:dyDescent="0.25">
      <c r="A16" s="16">
        <v>2.4</v>
      </c>
      <c r="B16" s="60" t="s">
        <v>27</v>
      </c>
      <c r="C16" s="17" t="s">
        <v>15</v>
      </c>
      <c r="D16" s="65"/>
      <c r="E16" s="42">
        <v>46083</v>
      </c>
      <c r="F16" s="43">
        <f t="shared" si="6"/>
        <v>46096</v>
      </c>
      <c r="G16" s="18">
        <v>14</v>
      </c>
      <c r="H16" s="19">
        <v>0</v>
      </c>
      <c r="I16" s="20">
        <f t="shared" si="4"/>
        <v>10</v>
      </c>
      <c r="J16" s="6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row>
    <row r="17" spans="1:66" s="17" customFormat="1" ht="17.399999999999999" x14ac:dyDescent="0.25">
      <c r="A17" s="16">
        <v>2.5</v>
      </c>
      <c r="B17" s="60" t="s">
        <v>29</v>
      </c>
      <c r="C17" s="17" t="s">
        <v>15</v>
      </c>
      <c r="D17" s="65"/>
      <c r="E17" s="42">
        <v>46083</v>
      </c>
      <c r="F17" s="43">
        <f t="shared" si="6"/>
        <v>46096</v>
      </c>
      <c r="G17" s="18">
        <v>14</v>
      </c>
      <c r="H17" s="19">
        <v>0</v>
      </c>
      <c r="I17" s="20">
        <f t="shared" si="4"/>
        <v>10</v>
      </c>
      <c r="J17" s="6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row>
    <row r="18" spans="1:66" s="17" customFormat="1" ht="17.399999999999999" x14ac:dyDescent="0.25">
      <c r="A18" s="16">
        <v>2.6</v>
      </c>
      <c r="B18" s="60" t="s">
        <v>30</v>
      </c>
      <c r="C18" s="17" t="s">
        <v>15</v>
      </c>
      <c r="D18" s="65"/>
      <c r="E18" s="42">
        <v>46083</v>
      </c>
      <c r="F18" s="43">
        <f t="shared" si="6"/>
        <v>46096</v>
      </c>
      <c r="G18" s="18">
        <v>14</v>
      </c>
      <c r="H18" s="19">
        <v>0</v>
      </c>
      <c r="I18" s="20">
        <f t="shared" si="4"/>
        <v>10</v>
      </c>
      <c r="J18" s="6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row>
    <row r="19" spans="1:66" s="11" customFormat="1" ht="17.399999999999999" x14ac:dyDescent="0.25">
      <c r="A19" s="9" t="str">
        <f>IF(ISERROR(VALUE(SUBSTITUTE(prevWBS,".",""))),"1",IF(ISERROR(FIND("`",SUBSTITUTE(prevWBS,".","`",1))),TEXT(VALUE(prevWBS)+1,"#"),TEXT(VALUE(LEFT(prevWBS,FIND("`",SUBSTITUTE(prevWBS,".","`",1))-1))+1,"#")))</f>
        <v>3</v>
      </c>
      <c r="B19" s="10" t="s">
        <v>31</v>
      </c>
      <c r="D19" s="12"/>
      <c r="E19" s="44"/>
      <c r="F19" s="44" t="str">
        <f t="shared" si="6"/>
        <v xml:space="preserve"> - </v>
      </c>
      <c r="G19" s="13"/>
      <c r="H19" s="14"/>
      <c r="I19" s="15" t="str">
        <f t="shared" si="4"/>
        <v xml:space="preserve"> - </v>
      </c>
      <c r="J19" s="40"/>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row>
    <row r="20" spans="1:66" s="17" customFormat="1" ht="39" customHeight="1" x14ac:dyDescent="0.25">
      <c r="A20"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0" s="60" t="s">
        <v>16</v>
      </c>
      <c r="C20" s="17" t="s">
        <v>33</v>
      </c>
      <c r="D20" s="61"/>
      <c r="E20" s="42">
        <v>46109</v>
      </c>
      <c r="F20" s="43">
        <f t="shared" si="6"/>
        <v>46111</v>
      </c>
      <c r="G20" s="18">
        <v>3</v>
      </c>
      <c r="H20" s="19">
        <v>0</v>
      </c>
      <c r="I20" s="20">
        <f t="shared" si="4"/>
        <v>1</v>
      </c>
      <c r="J20" s="39"/>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row>
    <row r="21" spans="1:66" s="17" customFormat="1" ht="17.399999999999999" x14ac:dyDescent="0.25">
      <c r="A21"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1" s="60" t="s">
        <v>32</v>
      </c>
      <c r="C21" s="17" t="s">
        <v>34</v>
      </c>
      <c r="D21" s="61"/>
      <c r="E21" s="42">
        <v>46109</v>
      </c>
      <c r="F21" s="43">
        <f t="shared" si="6"/>
        <v>46111</v>
      </c>
      <c r="G21" s="18">
        <v>3</v>
      </c>
      <c r="H21" s="19">
        <v>0</v>
      </c>
      <c r="I21" s="20">
        <f t="shared" si="4"/>
        <v>1</v>
      </c>
      <c r="J21" s="39"/>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row>
    <row r="22" spans="1:66" s="11" customFormat="1" ht="17.399999999999999" x14ac:dyDescent="0.25">
      <c r="A22" s="9" t="str">
        <f>IF(ISERROR(VALUE(SUBSTITUTE(prevWBS,".",""))),"1",IF(ISERROR(FIND("`",SUBSTITUTE(prevWBS,".","`",1))),TEXT(VALUE(prevWBS)+1,"#"),TEXT(VALUE(LEFT(prevWBS,FIND("`",SUBSTITUTE(prevWBS,".","`",1))-1))+1,"#")))</f>
        <v>4</v>
      </c>
      <c r="B22" s="10" t="s">
        <v>17</v>
      </c>
      <c r="D22" s="12"/>
      <c r="E22" s="44"/>
      <c r="F22" s="44" t="str">
        <f t="shared" si="6"/>
        <v xml:space="preserve"> - </v>
      </c>
      <c r="G22" s="13"/>
      <c r="H22" s="14"/>
      <c r="I22" s="15" t="str">
        <f t="shared" si="4"/>
        <v xml:space="preserve"> - </v>
      </c>
      <c r="J22" s="40"/>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row>
    <row r="23" spans="1:66" s="17" customFormat="1" ht="26.1" customHeight="1" x14ac:dyDescent="0.25">
      <c r="A2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3" s="60" t="s">
        <v>18</v>
      </c>
      <c r="C23" s="17" t="s">
        <v>33</v>
      </c>
      <c r="D23" s="61"/>
      <c r="E23" s="42">
        <v>46105</v>
      </c>
      <c r="F23" s="43">
        <f t="shared" si="6"/>
        <v>46112</v>
      </c>
      <c r="G23" s="18">
        <v>8</v>
      </c>
      <c r="H23" s="19">
        <v>0</v>
      </c>
      <c r="I23" s="20">
        <f t="shared" si="4"/>
        <v>6</v>
      </c>
      <c r="J23" s="39"/>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66" s="17" customFormat="1" ht="17.399999999999999" x14ac:dyDescent="0.25">
      <c r="A2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4" s="60" t="s">
        <v>19</v>
      </c>
      <c r="C24" s="17" t="s">
        <v>34</v>
      </c>
      <c r="D24" s="61"/>
      <c r="E24" s="42">
        <v>46109</v>
      </c>
      <c r="F24" s="43">
        <f t="shared" si="6"/>
        <v>46112</v>
      </c>
      <c r="G24" s="18">
        <v>4</v>
      </c>
      <c r="H24" s="19">
        <v>0</v>
      </c>
      <c r="I24" s="20">
        <f t="shared" si="4"/>
        <v>2</v>
      </c>
      <c r="J24" s="39"/>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66" s="17" customFormat="1" ht="17.399999999999999" x14ac:dyDescent="0.25">
      <c r="A25"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5" s="60" t="s">
        <v>20</v>
      </c>
      <c r="C25" s="17" t="s">
        <v>35</v>
      </c>
      <c r="D25" s="61"/>
      <c r="E25" s="42">
        <v>46105</v>
      </c>
      <c r="F25" s="43">
        <f t="shared" si="6"/>
        <v>46111</v>
      </c>
      <c r="G25" s="18">
        <v>7</v>
      </c>
      <c r="H25" s="19">
        <v>0</v>
      </c>
      <c r="I25" s="20">
        <f t="shared" si="4"/>
        <v>5</v>
      </c>
      <c r="J25" s="39"/>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66" s="17" customFormat="1" ht="17.399999999999999" x14ac:dyDescent="0.25">
      <c r="A26"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6" s="60" t="s">
        <v>21</v>
      </c>
      <c r="C26" s="17" t="s">
        <v>35</v>
      </c>
      <c r="D26" s="61"/>
      <c r="E26" s="42">
        <v>46112</v>
      </c>
      <c r="F26" s="43">
        <f t="shared" si="6"/>
        <v>46112</v>
      </c>
      <c r="G26" s="18">
        <v>1</v>
      </c>
      <c r="H26" s="19">
        <v>0</v>
      </c>
      <c r="I26" s="20">
        <f t="shared" si="4"/>
        <v>1</v>
      </c>
      <c r="J26" s="39"/>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row>
    <row r="27" spans="1:66" s="17" customFormat="1" ht="17.399999999999999" x14ac:dyDescent="0.25">
      <c r="A27"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27" s="60" t="s">
        <v>22</v>
      </c>
      <c r="C27" s="17" t="s">
        <v>15</v>
      </c>
      <c r="D27" s="61"/>
      <c r="E27" s="42">
        <v>46112</v>
      </c>
      <c r="F27" s="43">
        <f t="shared" si="6"/>
        <v>46112</v>
      </c>
      <c r="G27" s="18">
        <v>1</v>
      </c>
      <c r="H27" s="19">
        <v>0</v>
      </c>
      <c r="I27" s="20">
        <f t="shared" si="4"/>
        <v>1</v>
      </c>
      <c r="J27" s="39"/>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row>
    <row r="28" spans="1:66" s="26" customFormat="1" ht="17.399999999999999" x14ac:dyDescent="0.25">
      <c r="A28" s="16"/>
      <c r="B28" s="21"/>
      <c r="C28" s="21"/>
      <c r="D28" s="22"/>
      <c r="E28" s="45"/>
      <c r="F28" s="45"/>
      <c r="G28" s="23"/>
      <c r="H28" s="24"/>
      <c r="I28" s="25" t="str">
        <f t="shared" si="4"/>
        <v xml:space="preserve"> - </v>
      </c>
      <c r="J28" s="41"/>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row>
  </sheetData>
  <sheetProtection formatCells="0" formatColumns="0" formatRows="0" insertRows="0" deleteRows="0"/>
  <mergeCells count="19">
    <mergeCell ref="AF4:AL4"/>
    <mergeCell ref="AF5:AL5"/>
    <mergeCell ref="BH4:BN4"/>
    <mergeCell ref="BH5:BN5"/>
    <mergeCell ref="AM5:AS5"/>
    <mergeCell ref="AT4:AZ4"/>
    <mergeCell ref="AT5:AZ5"/>
    <mergeCell ref="AM4:AS4"/>
    <mergeCell ref="BA4:BG4"/>
    <mergeCell ref="BA5:BG5"/>
    <mergeCell ref="K1:AE1"/>
    <mergeCell ref="C5:E5"/>
    <mergeCell ref="R4:X4"/>
    <mergeCell ref="K4:Q4"/>
    <mergeCell ref="C4:E4"/>
    <mergeCell ref="R5:X5"/>
    <mergeCell ref="K5:Q5"/>
    <mergeCell ref="Y4:AE4"/>
    <mergeCell ref="Y5:AE5"/>
  </mergeCells>
  <phoneticPr fontId="3" type="noConversion"/>
  <conditionalFormatting sqref="H8:H28">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6:BN28">
    <cfRule type="expression" dxfId="2" priority="8">
      <formula>K$6=TODAY()</formula>
    </cfRule>
  </conditionalFormatting>
  <conditionalFormatting sqref="K8:BN28">
    <cfRule type="expression" dxfId="1" priority="48">
      <formula>AND($E8&lt;=K$6,ROUNDDOWN(($F8-$E8+1)*$H8,0)+$E8-1&gt;=K$6)</formula>
    </cfRule>
    <cfRule type="expression" dxfId="0" priority="49">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A28:B28 E12 E19 E22 E28:H28 G12:H12 G19:H19 G22:H22 G26" unlockedFormula="1"/>
    <ignoredError sqref="A22 A19 A12"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99060</xdr:colOff>
                    <xdr:row>1</xdr:row>
                    <xdr:rowOff>129540</xdr:rowOff>
                  </from>
                  <to>
                    <xdr:col>27</xdr:col>
                    <xdr:colOff>99060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H8:H28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ryleerenner18@gmail.com</cp:lastModifiedBy>
  <cp:revision/>
  <dcterms:created xsi:type="dcterms:W3CDTF">2010-06-09T16:05:03Z</dcterms:created>
  <dcterms:modified xsi:type="dcterms:W3CDTF">2026-03-28T01:43:26Z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